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orio_Carga_Maquina1" sheetId="1" r:id="rId4"/>
    <sheet state="visible" name="Gráfico 2 - Carregamento" sheetId="2" r:id="rId5"/>
    <sheet state="visible" name="Gráfico 6 - Horas extra e terc" sheetId="3" r:id="rId6"/>
  </sheets>
  <definedNames/>
  <calcPr/>
  <extLst>
    <ext uri="GoogleSheetsCustomDataVersion2">
      <go:sheetsCustomData xmlns:go="http://customooxmlschemas.google.com/" r:id="rId7" roundtripDataChecksum="Nx9Pfhlwah3rhnozGMu5nMjGbJI2YUEzsxKHG6m3zU0="/>
    </ext>
  </extLst>
</workbook>
</file>

<file path=xl/sharedStrings.xml><?xml version="1.0" encoding="utf-8"?>
<sst xmlns="http://schemas.openxmlformats.org/spreadsheetml/2006/main" count="44" uniqueCount="38">
  <si>
    <t>Grupo 3</t>
  </si>
  <si>
    <t>Recurso</t>
  </si>
  <si>
    <t>Cod.</t>
  </si>
  <si>
    <t>Descrição</t>
  </si>
  <si>
    <t>Período</t>
  </si>
  <si>
    <t>Car. Total</t>
  </si>
  <si>
    <t>Car. Disp.</t>
  </si>
  <si>
    <t>Car. Prog.</t>
  </si>
  <si>
    <t>% Carga</t>
  </si>
  <si>
    <t>Car. Terc.</t>
  </si>
  <si>
    <t>Car. Setup</t>
  </si>
  <si>
    <t>% Setup</t>
  </si>
  <si>
    <t>horas extras</t>
  </si>
  <si>
    <t>TC_1</t>
  </si>
  <si>
    <t>TEAR CIRCULAR 1</t>
  </si>
  <si>
    <t>TC_2</t>
  </si>
  <si>
    <t>TEAR CIRCULAR 2</t>
  </si>
  <si>
    <t>TC_3</t>
  </si>
  <si>
    <t>TEAR CIRCULAR 3</t>
  </si>
  <si>
    <t>TC_4</t>
  </si>
  <si>
    <t>TEAR CIRCULAR 4</t>
  </si>
  <si>
    <t>TC_5</t>
  </si>
  <si>
    <t>TEAR CIRCULAR 5</t>
  </si>
  <si>
    <t>JET_1</t>
  </si>
  <si>
    <t>MAQ TINGIMENTO 1</t>
  </si>
  <si>
    <t>JET_2</t>
  </si>
  <si>
    <t>MAQ TINGIMENTO 2</t>
  </si>
  <si>
    <t>JET_3</t>
  </si>
  <si>
    <t>MAQ TINGIMENTO 3</t>
  </si>
  <si>
    <t>RAMA_1</t>
  </si>
  <si>
    <t>RAMA 1</t>
  </si>
  <si>
    <t>% Carga média</t>
  </si>
  <si>
    <t>Jet 1</t>
  </si>
  <si>
    <t>Jet 2</t>
  </si>
  <si>
    <t>Jet 3</t>
  </si>
  <si>
    <t>Rama</t>
  </si>
  <si>
    <t>Horas terceirizadas</t>
  </si>
  <si>
    <t>Horas extras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</si>
</sst>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sz val="18.0"/>
      <color rgb="FF000080"/>
      <name val="Arial"/>
    </font>
    <font>
      <sz val="10.0"/>
      <color rgb="FF000000"/>
      <name val="Arial"/>
    </font>
    <font>
      <color theme="1"/>
      <name val="Arial"/>
      <scheme val="minor"/>
    </font>
    <font>
      <i/>
      <sz val="10.0"/>
      <color rgb="FF000080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4" xfId="0" applyAlignment="1" applyFont="1" applyNumberFormat="1">
      <alignment horizontal="center" shrinkToFit="0" vertical="bottom" wrapText="0"/>
    </xf>
    <xf borderId="0" fillId="0" fontId="3" numFmtId="4" xfId="0" applyFont="1" applyNumberFormat="1"/>
    <xf borderId="0" fillId="0" fontId="5" numFmtId="0" xfId="0" applyAlignment="1" applyFont="1">
      <alignment horizontal="center" readingOrder="0"/>
    </xf>
    <xf borderId="0" fillId="0" fontId="3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Gráfico 2 – Carregamento médio dos recursos Jet/Rama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'Gráfico 2 - Carregamento'!$B$1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 2 - Carregamento'!$A$2:$A$5</c:f>
            </c:strRef>
          </c:cat>
          <c:val>
            <c:numRef>
              <c:f>'Gráfico 2 - Carregamento'!$B$2:$B$5</c:f>
              <c:numCache/>
            </c:numRef>
          </c:val>
        </c:ser>
        <c:axId val="1398497805"/>
        <c:axId val="1715853694"/>
      </c:barChart>
      <c:catAx>
        <c:axId val="13984978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Recurso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5853694"/>
      </c:catAx>
      <c:valAx>
        <c:axId val="17158536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Carga média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84978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2</xdr:row>
      <xdr:rowOff>47625</xdr:rowOff>
    </xdr:from>
    <xdr:ext cx="6172200" cy="3333750"/>
    <xdr:graphicFrame>
      <xdr:nvGraphicFramePr>
        <xdr:cNvPr id="299016648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34.88"/>
    <col customWidth="1" min="2" max="2" width="16.38"/>
    <col customWidth="1" min="3" max="3" width="22.0"/>
    <col customWidth="1" min="4" max="4" width="11.13"/>
    <col customWidth="1" min="5" max="8" width="11.0"/>
    <col customWidth="1" min="9" max="9" width="11.25"/>
    <col customWidth="1" min="10" max="10" width="11.0"/>
    <col customWidth="1" min="11" max="11" width="11.25"/>
    <col customWidth="1" min="12" max="26" width="8.63"/>
  </cols>
  <sheetData>
    <row r="1" ht="23.25" customHeight="1">
      <c r="A1" s="1" t="s">
        <v>0</v>
      </c>
    </row>
    <row r="2" ht="12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3" t="s">
        <v>12</v>
      </c>
    </row>
    <row r="3" ht="15.0" customHeight="1">
      <c r="A3" s="4">
        <v>1.0</v>
      </c>
      <c r="B3" s="4" t="s">
        <v>13</v>
      </c>
      <c r="C3" s="4" t="s">
        <v>14</v>
      </c>
    </row>
    <row r="4" ht="15.0" hidden="1" customHeight="1" outlineLevel="1">
      <c r="D4" s="5">
        <v>13.0</v>
      </c>
      <c r="E4" s="6">
        <v>84.0</v>
      </c>
      <c r="F4" s="6">
        <v>84.0</v>
      </c>
      <c r="G4" s="6">
        <v>83.95</v>
      </c>
      <c r="H4" s="6">
        <v>99.94</v>
      </c>
      <c r="I4" s="6">
        <v>0.0</v>
      </c>
      <c r="J4" s="6">
        <v>0.25</v>
      </c>
      <c r="K4" s="6">
        <v>0.3</v>
      </c>
    </row>
    <row r="5" ht="15.0" hidden="1" customHeight="1" outlineLevel="1">
      <c r="D5" s="5">
        <v>14.0</v>
      </c>
      <c r="E5" s="6">
        <v>84.0</v>
      </c>
      <c r="F5" s="6">
        <v>84.0</v>
      </c>
      <c r="G5" s="6">
        <v>83.95</v>
      </c>
      <c r="H5" s="6">
        <v>99.94</v>
      </c>
      <c r="I5" s="6">
        <v>0.0</v>
      </c>
      <c r="J5" s="6">
        <v>0.25</v>
      </c>
      <c r="K5" s="6">
        <v>0.3</v>
      </c>
    </row>
    <row r="6" ht="15.0" hidden="1" customHeight="1" outlineLevel="1">
      <c r="D6" s="5">
        <v>15.0</v>
      </c>
      <c r="E6" s="6">
        <v>84.0</v>
      </c>
      <c r="F6" s="6">
        <v>84.0</v>
      </c>
      <c r="G6" s="6">
        <v>83.95</v>
      </c>
      <c r="H6" s="6">
        <v>99.94</v>
      </c>
      <c r="I6" s="6">
        <v>0.0</v>
      </c>
      <c r="J6" s="6">
        <v>0.25</v>
      </c>
      <c r="K6" s="6">
        <v>0.3</v>
      </c>
    </row>
    <row r="7" ht="15.0" hidden="1" customHeight="1" outlineLevel="1">
      <c r="D7" s="5">
        <v>16.0</v>
      </c>
      <c r="E7" s="6">
        <v>84.0</v>
      </c>
      <c r="F7" s="6">
        <v>84.0</v>
      </c>
      <c r="G7" s="6">
        <v>83.95</v>
      </c>
      <c r="H7" s="6">
        <v>99.94</v>
      </c>
      <c r="I7" s="6">
        <v>0.0</v>
      </c>
      <c r="J7" s="6">
        <v>0.25</v>
      </c>
      <c r="K7" s="6">
        <v>0.3</v>
      </c>
    </row>
    <row r="8" ht="15.0" hidden="1" customHeight="1" outlineLevel="1">
      <c r="D8" s="5">
        <v>17.0</v>
      </c>
      <c r="E8" s="6">
        <v>84.0</v>
      </c>
      <c r="F8" s="6">
        <v>84.0</v>
      </c>
      <c r="G8" s="6">
        <v>83.95</v>
      </c>
      <c r="H8" s="6">
        <v>99.94</v>
      </c>
      <c r="I8" s="6">
        <v>0.0</v>
      </c>
      <c r="J8" s="6">
        <v>0.25</v>
      </c>
      <c r="K8" s="6">
        <v>0.3</v>
      </c>
    </row>
    <row r="9" ht="15.0" hidden="1" customHeight="1" outlineLevel="1">
      <c r="D9" s="5">
        <v>18.0</v>
      </c>
      <c r="E9" s="6">
        <v>84.0</v>
      </c>
      <c r="F9" s="6">
        <v>84.0</v>
      </c>
      <c r="G9" s="6">
        <v>83.95</v>
      </c>
      <c r="H9" s="6">
        <v>99.94</v>
      </c>
      <c r="I9" s="6">
        <v>0.0</v>
      </c>
      <c r="J9" s="6">
        <v>0.25</v>
      </c>
      <c r="K9" s="6">
        <v>0.3</v>
      </c>
    </row>
    <row r="10" ht="15.0" hidden="1" customHeight="1" outlineLevel="1">
      <c r="D10" s="5">
        <v>19.0</v>
      </c>
      <c r="E10" s="6">
        <v>84.0</v>
      </c>
      <c r="F10" s="6">
        <v>84.0</v>
      </c>
      <c r="G10" s="6">
        <v>83.95</v>
      </c>
      <c r="H10" s="6">
        <v>99.94</v>
      </c>
      <c r="I10" s="6">
        <v>0.0</v>
      </c>
      <c r="J10" s="6">
        <v>0.25</v>
      </c>
      <c r="K10" s="6">
        <v>0.3</v>
      </c>
    </row>
    <row r="11" ht="15.0" hidden="1" customHeight="1" outlineLevel="1">
      <c r="D11" s="5">
        <v>20.0</v>
      </c>
      <c r="E11" s="6">
        <v>84.0</v>
      </c>
      <c r="F11" s="6">
        <v>84.0</v>
      </c>
      <c r="G11" s="6">
        <v>83.95</v>
      </c>
      <c r="H11" s="6">
        <v>99.94</v>
      </c>
      <c r="I11" s="6">
        <v>0.0</v>
      </c>
      <c r="J11" s="6">
        <v>0.25</v>
      </c>
      <c r="K11" s="6">
        <v>0.3</v>
      </c>
    </row>
    <row r="12" ht="15.0" hidden="1" customHeight="1" outlineLevel="1">
      <c r="D12" s="5">
        <v>21.0</v>
      </c>
      <c r="E12" s="6">
        <v>84.0</v>
      </c>
      <c r="F12" s="6">
        <v>84.0</v>
      </c>
      <c r="G12" s="6">
        <v>83.95</v>
      </c>
      <c r="H12" s="6">
        <v>99.94</v>
      </c>
      <c r="I12" s="6">
        <v>0.0</v>
      </c>
      <c r="J12" s="6">
        <v>0.25</v>
      </c>
      <c r="K12" s="6">
        <v>0.3</v>
      </c>
    </row>
    <row r="13" ht="15.0" hidden="1" customHeight="1" outlineLevel="1">
      <c r="D13" s="5">
        <v>22.0</v>
      </c>
      <c r="E13" s="6">
        <v>84.0</v>
      </c>
      <c r="F13" s="6">
        <v>84.0</v>
      </c>
      <c r="G13" s="6">
        <v>83.95</v>
      </c>
      <c r="H13" s="6">
        <v>99.94</v>
      </c>
      <c r="I13" s="6">
        <v>0.0</v>
      </c>
      <c r="J13" s="6">
        <v>0.25</v>
      </c>
      <c r="K13" s="6">
        <v>0.3</v>
      </c>
    </row>
    <row r="14" ht="15.0" hidden="1" customHeight="1" outlineLevel="1">
      <c r="D14" s="5">
        <v>23.0</v>
      </c>
      <c r="E14" s="6">
        <v>84.0</v>
      </c>
      <c r="F14" s="6">
        <v>84.0</v>
      </c>
      <c r="G14" s="6">
        <v>83.95</v>
      </c>
      <c r="H14" s="6">
        <v>99.94</v>
      </c>
      <c r="I14" s="6">
        <v>0.0</v>
      </c>
      <c r="J14" s="6">
        <v>0.25</v>
      </c>
      <c r="K14" s="6">
        <v>0.3</v>
      </c>
    </row>
    <row r="15" ht="15.0" hidden="1" customHeight="1" outlineLevel="1">
      <c r="D15" s="5">
        <v>24.0</v>
      </c>
      <c r="E15" s="6">
        <v>84.0</v>
      </c>
      <c r="F15" s="6">
        <v>84.0</v>
      </c>
      <c r="G15" s="6">
        <v>83.95</v>
      </c>
      <c r="H15" s="6">
        <v>99.94</v>
      </c>
      <c r="I15" s="6">
        <v>0.0</v>
      </c>
      <c r="J15" s="6">
        <v>0.25</v>
      </c>
      <c r="K15" s="6">
        <v>0.3</v>
      </c>
    </row>
    <row r="16" ht="15.0" customHeight="1" collapsed="1">
      <c r="A16" s="4">
        <v>2.0</v>
      </c>
      <c r="B16" s="4" t="s">
        <v>15</v>
      </c>
      <c r="C16" s="4" t="s">
        <v>16</v>
      </c>
    </row>
    <row r="17" ht="15.0" hidden="1" customHeight="1" outlineLevel="1">
      <c r="D17" s="5">
        <v>13.0</v>
      </c>
      <c r="E17" s="6">
        <v>84.0</v>
      </c>
      <c r="F17" s="6">
        <v>84.0</v>
      </c>
      <c r="G17" s="6">
        <v>81.25</v>
      </c>
      <c r="H17" s="6">
        <v>96.73</v>
      </c>
      <c r="I17" s="6">
        <v>0.0</v>
      </c>
      <c r="J17" s="6">
        <v>0.25</v>
      </c>
      <c r="K17" s="6">
        <v>0.3</v>
      </c>
    </row>
    <row r="18" ht="15.0" hidden="1" customHeight="1" outlineLevel="1">
      <c r="D18" s="5">
        <v>14.0</v>
      </c>
      <c r="E18" s="6">
        <v>84.0</v>
      </c>
      <c r="F18" s="6">
        <v>84.0</v>
      </c>
      <c r="G18" s="6">
        <v>81.25</v>
      </c>
      <c r="H18" s="6">
        <v>96.73</v>
      </c>
      <c r="I18" s="6">
        <v>0.0</v>
      </c>
      <c r="J18" s="6">
        <v>0.25</v>
      </c>
      <c r="K18" s="6">
        <v>0.3</v>
      </c>
    </row>
    <row r="19" ht="15.0" hidden="1" customHeight="1" outlineLevel="1">
      <c r="D19" s="5">
        <v>15.0</v>
      </c>
      <c r="E19" s="6">
        <v>84.0</v>
      </c>
      <c r="F19" s="6">
        <v>84.0</v>
      </c>
      <c r="G19" s="6">
        <v>81.25</v>
      </c>
      <c r="H19" s="6">
        <v>96.73</v>
      </c>
      <c r="I19" s="6">
        <v>0.0</v>
      </c>
      <c r="J19" s="6">
        <v>0.25</v>
      </c>
      <c r="K19" s="6">
        <v>0.3</v>
      </c>
    </row>
    <row r="20" ht="15.0" hidden="1" customHeight="1" outlineLevel="1">
      <c r="D20" s="5">
        <v>16.0</v>
      </c>
      <c r="E20" s="6">
        <v>84.0</v>
      </c>
      <c r="F20" s="6">
        <v>84.0</v>
      </c>
      <c r="G20" s="6">
        <v>81.25</v>
      </c>
      <c r="H20" s="6">
        <v>96.73</v>
      </c>
      <c r="I20" s="6">
        <v>0.0</v>
      </c>
      <c r="J20" s="6">
        <v>0.25</v>
      </c>
      <c r="K20" s="6">
        <v>0.3</v>
      </c>
    </row>
    <row r="21" ht="15.0" hidden="1" customHeight="1" outlineLevel="1">
      <c r="D21" s="5">
        <v>17.0</v>
      </c>
      <c r="E21" s="6">
        <v>84.0</v>
      </c>
      <c r="F21" s="6">
        <v>84.0</v>
      </c>
      <c r="G21" s="6">
        <v>81.25</v>
      </c>
      <c r="H21" s="6">
        <v>96.73</v>
      </c>
      <c r="I21" s="6">
        <v>0.0</v>
      </c>
      <c r="J21" s="6">
        <v>0.25</v>
      </c>
      <c r="K21" s="6">
        <v>0.3</v>
      </c>
    </row>
    <row r="22" ht="15.0" hidden="1" customHeight="1" outlineLevel="1">
      <c r="D22" s="5">
        <v>18.0</v>
      </c>
      <c r="E22" s="6">
        <v>84.0</v>
      </c>
      <c r="F22" s="6">
        <v>84.0</v>
      </c>
      <c r="G22" s="6">
        <v>81.25</v>
      </c>
      <c r="H22" s="6">
        <v>96.73</v>
      </c>
      <c r="I22" s="6">
        <v>0.0</v>
      </c>
      <c r="J22" s="6">
        <v>0.25</v>
      </c>
      <c r="K22" s="6">
        <v>0.3</v>
      </c>
    </row>
    <row r="23" ht="15.0" hidden="1" customHeight="1" outlineLevel="1">
      <c r="D23" s="5">
        <v>19.0</v>
      </c>
      <c r="E23" s="6">
        <v>84.0</v>
      </c>
      <c r="F23" s="6">
        <v>84.0</v>
      </c>
      <c r="G23" s="6">
        <v>81.25</v>
      </c>
      <c r="H23" s="6">
        <v>96.73</v>
      </c>
      <c r="I23" s="6">
        <v>0.0</v>
      </c>
      <c r="J23" s="6">
        <v>0.25</v>
      </c>
      <c r="K23" s="6">
        <v>0.3</v>
      </c>
    </row>
    <row r="24" ht="15.0" hidden="1" customHeight="1" outlineLevel="1">
      <c r="D24" s="5">
        <v>20.0</v>
      </c>
      <c r="E24" s="6">
        <v>84.0</v>
      </c>
      <c r="F24" s="6">
        <v>84.0</v>
      </c>
      <c r="G24" s="6">
        <v>81.25</v>
      </c>
      <c r="H24" s="6">
        <v>96.73</v>
      </c>
      <c r="I24" s="6">
        <v>0.0</v>
      </c>
      <c r="J24" s="6">
        <v>0.25</v>
      </c>
      <c r="K24" s="6">
        <v>0.3</v>
      </c>
    </row>
    <row r="25" ht="15.0" hidden="1" customHeight="1" outlineLevel="1">
      <c r="D25" s="5">
        <v>21.0</v>
      </c>
      <c r="E25" s="6">
        <v>84.0</v>
      </c>
      <c r="F25" s="6">
        <v>84.0</v>
      </c>
      <c r="G25" s="6">
        <v>81.25</v>
      </c>
      <c r="H25" s="6">
        <v>96.73</v>
      </c>
      <c r="I25" s="6">
        <v>0.0</v>
      </c>
      <c r="J25" s="6">
        <v>0.25</v>
      </c>
      <c r="K25" s="6">
        <v>0.3</v>
      </c>
    </row>
    <row r="26" ht="15.0" hidden="1" customHeight="1" outlineLevel="1">
      <c r="D26" s="5">
        <v>22.0</v>
      </c>
      <c r="E26" s="6">
        <v>84.0</v>
      </c>
      <c r="F26" s="6">
        <v>84.0</v>
      </c>
      <c r="G26" s="6">
        <v>81.25</v>
      </c>
      <c r="H26" s="6">
        <v>96.73</v>
      </c>
      <c r="I26" s="6">
        <v>0.0</v>
      </c>
      <c r="J26" s="6">
        <v>0.25</v>
      </c>
      <c r="K26" s="6">
        <v>0.3</v>
      </c>
    </row>
    <row r="27" ht="15.0" hidden="1" customHeight="1" outlineLevel="1">
      <c r="D27" s="5">
        <v>23.0</v>
      </c>
      <c r="E27" s="6">
        <v>84.0</v>
      </c>
      <c r="F27" s="6">
        <v>84.0</v>
      </c>
      <c r="G27" s="6">
        <v>81.25</v>
      </c>
      <c r="H27" s="6">
        <v>96.73</v>
      </c>
      <c r="I27" s="6">
        <v>0.0</v>
      </c>
      <c r="J27" s="6">
        <v>0.25</v>
      </c>
      <c r="K27" s="6">
        <v>0.3</v>
      </c>
    </row>
    <row r="28" ht="15.0" hidden="1" customHeight="1" outlineLevel="1">
      <c r="D28" s="5">
        <v>24.0</v>
      </c>
      <c r="E28" s="6">
        <v>84.0</v>
      </c>
      <c r="F28" s="6">
        <v>84.0</v>
      </c>
      <c r="G28" s="6">
        <v>81.25</v>
      </c>
      <c r="H28" s="6">
        <v>96.73</v>
      </c>
      <c r="I28" s="6">
        <v>0.0</v>
      </c>
      <c r="J28" s="6">
        <v>0.25</v>
      </c>
      <c r="K28" s="6">
        <v>0.3</v>
      </c>
    </row>
    <row r="29" ht="15.0" customHeight="1" collapsed="1">
      <c r="A29" s="4">
        <v>3.0</v>
      </c>
      <c r="B29" s="4" t="s">
        <v>17</v>
      </c>
      <c r="C29" s="4" t="s">
        <v>18</v>
      </c>
    </row>
    <row r="30" ht="15.0" hidden="1" customHeight="1" outlineLevel="1">
      <c r="D30" s="5">
        <v>13.0</v>
      </c>
      <c r="E30" s="6">
        <v>84.0</v>
      </c>
      <c r="F30" s="6">
        <v>84.0</v>
      </c>
      <c r="G30" s="6">
        <v>82.75</v>
      </c>
      <c r="H30" s="6">
        <v>98.51</v>
      </c>
      <c r="I30" s="6">
        <v>0.0</v>
      </c>
      <c r="J30" s="6">
        <v>0.25</v>
      </c>
      <c r="K30" s="6">
        <v>0.3</v>
      </c>
    </row>
    <row r="31" ht="15.0" hidden="1" customHeight="1" outlineLevel="1">
      <c r="D31" s="5">
        <v>14.0</v>
      </c>
      <c r="E31" s="6">
        <v>84.0</v>
      </c>
      <c r="F31" s="6">
        <v>84.0</v>
      </c>
      <c r="G31" s="6">
        <v>82.75</v>
      </c>
      <c r="H31" s="6">
        <v>98.51</v>
      </c>
      <c r="I31" s="6">
        <v>0.0</v>
      </c>
      <c r="J31" s="6">
        <v>0.25</v>
      </c>
      <c r="K31" s="6">
        <v>0.3</v>
      </c>
    </row>
    <row r="32" ht="15.0" hidden="1" customHeight="1" outlineLevel="1">
      <c r="D32" s="5">
        <v>15.0</v>
      </c>
      <c r="E32" s="6">
        <v>84.0</v>
      </c>
      <c r="F32" s="6">
        <v>84.0</v>
      </c>
      <c r="G32" s="6">
        <v>82.75</v>
      </c>
      <c r="H32" s="6">
        <v>98.51</v>
      </c>
      <c r="I32" s="6">
        <v>0.0</v>
      </c>
      <c r="J32" s="6">
        <v>0.25</v>
      </c>
      <c r="K32" s="6">
        <v>0.3</v>
      </c>
    </row>
    <row r="33" ht="15.0" hidden="1" customHeight="1" outlineLevel="1">
      <c r="D33" s="5">
        <v>16.0</v>
      </c>
      <c r="E33" s="6">
        <v>84.0</v>
      </c>
      <c r="F33" s="6">
        <v>84.0</v>
      </c>
      <c r="G33" s="6">
        <v>82.75</v>
      </c>
      <c r="H33" s="6">
        <v>98.51</v>
      </c>
      <c r="I33" s="6">
        <v>0.0</v>
      </c>
      <c r="J33" s="6">
        <v>0.25</v>
      </c>
      <c r="K33" s="6">
        <v>0.3</v>
      </c>
    </row>
    <row r="34" ht="15.0" hidden="1" customHeight="1" outlineLevel="1">
      <c r="D34" s="5">
        <v>17.0</v>
      </c>
      <c r="E34" s="6">
        <v>84.0</v>
      </c>
      <c r="F34" s="6">
        <v>84.0</v>
      </c>
      <c r="G34" s="6">
        <v>82.75</v>
      </c>
      <c r="H34" s="6">
        <v>98.51</v>
      </c>
      <c r="I34" s="6">
        <v>0.0</v>
      </c>
      <c r="J34" s="6">
        <v>0.25</v>
      </c>
      <c r="K34" s="6">
        <v>0.3</v>
      </c>
    </row>
    <row r="35" ht="15.0" hidden="1" customHeight="1" outlineLevel="1">
      <c r="D35" s="5">
        <v>18.0</v>
      </c>
      <c r="E35" s="6">
        <v>84.0</v>
      </c>
      <c r="F35" s="6">
        <v>84.0</v>
      </c>
      <c r="G35" s="6">
        <v>82.75</v>
      </c>
      <c r="H35" s="6">
        <v>98.51</v>
      </c>
      <c r="I35" s="6">
        <v>0.0</v>
      </c>
      <c r="J35" s="6">
        <v>0.25</v>
      </c>
      <c r="K35" s="6">
        <v>0.3</v>
      </c>
    </row>
    <row r="36" ht="15.0" hidden="1" customHeight="1" outlineLevel="1">
      <c r="D36" s="5">
        <v>19.0</v>
      </c>
      <c r="E36" s="6">
        <v>84.0</v>
      </c>
      <c r="F36" s="6">
        <v>84.0</v>
      </c>
      <c r="G36" s="6">
        <v>82.75</v>
      </c>
      <c r="H36" s="6">
        <v>98.51</v>
      </c>
      <c r="I36" s="6">
        <v>0.0</v>
      </c>
      <c r="J36" s="6">
        <v>0.25</v>
      </c>
      <c r="K36" s="6">
        <v>0.3</v>
      </c>
    </row>
    <row r="37" ht="15.0" hidden="1" customHeight="1" outlineLevel="1">
      <c r="D37" s="5">
        <v>20.0</v>
      </c>
      <c r="E37" s="6">
        <v>84.0</v>
      </c>
      <c r="F37" s="6">
        <v>84.0</v>
      </c>
      <c r="G37" s="6">
        <v>82.75</v>
      </c>
      <c r="H37" s="6">
        <v>98.51</v>
      </c>
      <c r="I37" s="6">
        <v>0.0</v>
      </c>
      <c r="J37" s="6">
        <v>0.25</v>
      </c>
      <c r="K37" s="6">
        <v>0.3</v>
      </c>
    </row>
    <row r="38" ht="15.0" hidden="1" customHeight="1" outlineLevel="1">
      <c r="D38" s="5">
        <v>21.0</v>
      </c>
      <c r="E38" s="6">
        <v>84.0</v>
      </c>
      <c r="F38" s="6">
        <v>84.0</v>
      </c>
      <c r="G38" s="6">
        <v>82.75</v>
      </c>
      <c r="H38" s="6">
        <v>98.51</v>
      </c>
      <c r="I38" s="6">
        <v>0.0</v>
      </c>
      <c r="J38" s="6">
        <v>0.25</v>
      </c>
      <c r="K38" s="6">
        <v>0.3</v>
      </c>
    </row>
    <row r="39" ht="15.0" hidden="1" customHeight="1" outlineLevel="1">
      <c r="D39" s="5">
        <v>22.0</v>
      </c>
      <c r="E39" s="6">
        <v>84.0</v>
      </c>
      <c r="F39" s="6">
        <v>84.0</v>
      </c>
      <c r="G39" s="6">
        <v>82.75</v>
      </c>
      <c r="H39" s="6">
        <v>98.51</v>
      </c>
      <c r="I39" s="6">
        <v>0.0</v>
      </c>
      <c r="J39" s="6">
        <v>0.25</v>
      </c>
      <c r="K39" s="6">
        <v>0.3</v>
      </c>
    </row>
    <row r="40" ht="15.0" hidden="1" customHeight="1" outlineLevel="1">
      <c r="D40" s="5">
        <v>23.0</v>
      </c>
      <c r="E40" s="6">
        <v>84.0</v>
      </c>
      <c r="F40" s="6">
        <v>84.0</v>
      </c>
      <c r="G40" s="6">
        <v>82.75</v>
      </c>
      <c r="H40" s="6">
        <v>98.51</v>
      </c>
      <c r="I40" s="6">
        <v>0.0</v>
      </c>
      <c r="J40" s="6">
        <v>0.25</v>
      </c>
      <c r="K40" s="6">
        <v>0.3</v>
      </c>
    </row>
    <row r="41" ht="15.0" hidden="1" customHeight="1" outlineLevel="1">
      <c r="D41" s="5">
        <v>24.0</v>
      </c>
      <c r="E41" s="6">
        <v>84.0</v>
      </c>
      <c r="F41" s="6">
        <v>84.0</v>
      </c>
      <c r="G41" s="6">
        <v>79.45</v>
      </c>
      <c r="H41" s="6">
        <v>94.58</v>
      </c>
      <c r="I41" s="6">
        <v>0.0</v>
      </c>
      <c r="J41" s="6">
        <v>0.25</v>
      </c>
      <c r="K41" s="6">
        <v>0.3</v>
      </c>
    </row>
    <row r="42" ht="15.0" customHeight="1" collapsed="1">
      <c r="A42" s="4">
        <v>4.0</v>
      </c>
      <c r="B42" s="4" t="s">
        <v>19</v>
      </c>
      <c r="C42" s="4" t="s">
        <v>20</v>
      </c>
    </row>
    <row r="43" ht="15.0" hidden="1" customHeight="1" outlineLevel="1">
      <c r="D43" s="5">
        <v>13.0</v>
      </c>
      <c r="E43" s="6">
        <v>84.0</v>
      </c>
      <c r="F43" s="6">
        <v>70.0</v>
      </c>
      <c r="G43" s="6">
        <v>67.75</v>
      </c>
      <c r="H43" s="6">
        <v>96.79</v>
      </c>
      <c r="I43" s="6">
        <v>0.0</v>
      </c>
      <c r="J43" s="6">
        <v>0.25</v>
      </c>
      <c r="K43" s="6">
        <v>0.36</v>
      </c>
    </row>
    <row r="44" ht="15.0" hidden="1" customHeight="1" outlineLevel="1">
      <c r="D44" s="5">
        <v>14.0</v>
      </c>
      <c r="E44" s="6">
        <v>84.0</v>
      </c>
      <c r="F44" s="6">
        <v>84.0</v>
      </c>
      <c r="G44" s="6">
        <v>83.95</v>
      </c>
      <c r="H44" s="6">
        <v>99.94</v>
      </c>
      <c r="I44" s="6">
        <v>0.0</v>
      </c>
      <c r="J44" s="6">
        <v>0.25</v>
      </c>
      <c r="K44" s="6">
        <v>0.3</v>
      </c>
    </row>
    <row r="45" ht="15.0" hidden="1" customHeight="1" outlineLevel="1">
      <c r="D45" s="5">
        <v>15.0</v>
      </c>
      <c r="E45" s="6">
        <v>84.0</v>
      </c>
      <c r="F45" s="6">
        <v>84.0</v>
      </c>
      <c r="G45" s="6">
        <v>78.55</v>
      </c>
      <c r="H45" s="6">
        <v>93.51</v>
      </c>
      <c r="I45" s="6">
        <v>0.0</v>
      </c>
      <c r="J45" s="6">
        <v>0.25</v>
      </c>
      <c r="K45" s="6">
        <v>0.3</v>
      </c>
    </row>
    <row r="46" ht="15.0" hidden="1" customHeight="1" outlineLevel="1">
      <c r="D46" s="5">
        <v>16.0</v>
      </c>
      <c r="E46" s="6">
        <v>84.0</v>
      </c>
      <c r="F46" s="6">
        <v>70.0</v>
      </c>
      <c r="G46" s="6">
        <v>46.15</v>
      </c>
      <c r="H46" s="6">
        <v>65.93</v>
      </c>
      <c r="I46" s="6">
        <v>0.0</v>
      </c>
      <c r="J46" s="6">
        <v>0.25</v>
      </c>
      <c r="K46" s="6">
        <v>0.36</v>
      </c>
    </row>
    <row r="47" ht="15.0" hidden="1" customHeight="1" outlineLevel="1">
      <c r="D47" s="5">
        <v>17.0</v>
      </c>
      <c r="E47" s="6">
        <v>84.0</v>
      </c>
      <c r="F47" s="6">
        <v>84.0</v>
      </c>
      <c r="G47" s="6">
        <v>73.4</v>
      </c>
      <c r="H47" s="6">
        <v>87.38</v>
      </c>
      <c r="I47" s="6">
        <v>0.0</v>
      </c>
      <c r="J47" s="6">
        <v>0.5</v>
      </c>
      <c r="K47" s="6">
        <v>0.6</v>
      </c>
    </row>
    <row r="48" ht="15.0" hidden="1" customHeight="1" outlineLevel="1">
      <c r="D48" s="5">
        <v>18.0</v>
      </c>
      <c r="E48" s="6">
        <v>84.0</v>
      </c>
      <c r="F48" s="6">
        <v>84.0</v>
      </c>
      <c r="G48" s="6">
        <v>74.6</v>
      </c>
      <c r="H48" s="6">
        <v>88.81</v>
      </c>
      <c r="I48" s="6">
        <v>0.0</v>
      </c>
      <c r="J48" s="6">
        <v>0.5</v>
      </c>
      <c r="K48" s="6">
        <v>0.6</v>
      </c>
    </row>
    <row r="49" ht="15.0" hidden="1" customHeight="1" outlineLevel="1">
      <c r="D49" s="5">
        <v>19.0</v>
      </c>
      <c r="E49" s="6">
        <v>84.0</v>
      </c>
      <c r="F49" s="6">
        <v>84.0</v>
      </c>
      <c r="G49" s="6">
        <v>78.55</v>
      </c>
      <c r="H49" s="6">
        <v>93.51</v>
      </c>
      <c r="I49" s="6">
        <v>0.0</v>
      </c>
      <c r="J49" s="6">
        <v>0.25</v>
      </c>
      <c r="K49" s="6">
        <v>0.3</v>
      </c>
    </row>
    <row r="50" ht="15.0" hidden="1" customHeight="1" outlineLevel="1">
      <c r="D50" s="5">
        <v>20.0</v>
      </c>
      <c r="E50" s="6">
        <v>84.0</v>
      </c>
      <c r="F50" s="6">
        <v>84.0</v>
      </c>
      <c r="G50" s="6">
        <v>83.95</v>
      </c>
      <c r="H50" s="6">
        <v>99.94</v>
      </c>
      <c r="I50" s="6">
        <v>0.0</v>
      </c>
      <c r="J50" s="6">
        <v>0.25</v>
      </c>
      <c r="K50" s="6">
        <v>0.3</v>
      </c>
    </row>
    <row r="51" ht="15.0" hidden="1" customHeight="1" outlineLevel="1">
      <c r="D51" s="5">
        <v>21.0</v>
      </c>
      <c r="E51" s="6">
        <v>84.0</v>
      </c>
      <c r="F51" s="6">
        <v>84.0</v>
      </c>
      <c r="G51" s="6">
        <v>83.95</v>
      </c>
      <c r="H51" s="6">
        <v>99.94</v>
      </c>
      <c r="I51" s="6">
        <v>0.0</v>
      </c>
      <c r="J51" s="6">
        <v>0.25</v>
      </c>
      <c r="K51" s="6">
        <v>0.3</v>
      </c>
    </row>
    <row r="52" ht="15.0" hidden="1" customHeight="1" outlineLevel="1">
      <c r="D52" s="5">
        <v>22.0</v>
      </c>
      <c r="E52" s="6">
        <v>84.0</v>
      </c>
      <c r="F52" s="6">
        <v>84.0</v>
      </c>
      <c r="G52" s="6">
        <v>83.95</v>
      </c>
      <c r="H52" s="6">
        <v>99.94</v>
      </c>
      <c r="I52" s="6">
        <v>0.0</v>
      </c>
      <c r="J52" s="6">
        <v>0.25</v>
      </c>
      <c r="K52" s="6">
        <v>0.3</v>
      </c>
    </row>
    <row r="53" ht="15.0" hidden="1" customHeight="1" outlineLevel="1">
      <c r="D53" s="5">
        <v>23.0</v>
      </c>
      <c r="E53" s="6">
        <v>84.0</v>
      </c>
      <c r="F53" s="6">
        <v>84.0</v>
      </c>
      <c r="G53" s="6">
        <v>83.0</v>
      </c>
      <c r="H53" s="6">
        <v>98.81</v>
      </c>
      <c r="I53" s="6">
        <v>0.0</v>
      </c>
      <c r="J53" s="6">
        <v>0.5</v>
      </c>
      <c r="K53" s="6">
        <v>0.6</v>
      </c>
    </row>
    <row r="54" ht="15.0" hidden="1" customHeight="1" outlineLevel="1">
      <c r="D54" s="5">
        <v>24.0</v>
      </c>
      <c r="E54" s="6">
        <v>84.0</v>
      </c>
      <c r="F54" s="6">
        <v>84.0</v>
      </c>
      <c r="G54" s="6">
        <v>83.95</v>
      </c>
      <c r="H54" s="6">
        <v>99.94</v>
      </c>
      <c r="I54" s="6">
        <v>0.0</v>
      </c>
      <c r="J54" s="6">
        <v>0.25</v>
      </c>
      <c r="K54" s="6">
        <v>0.3</v>
      </c>
    </row>
    <row r="55" ht="15.0" customHeight="1" collapsed="1">
      <c r="A55" s="4">
        <v>5.0</v>
      </c>
      <c r="B55" s="4" t="s">
        <v>21</v>
      </c>
      <c r="C55" s="4" t="s">
        <v>22</v>
      </c>
    </row>
    <row r="56" ht="15.0" hidden="1" customHeight="1" outlineLevel="1">
      <c r="D56" s="5">
        <v>13.0</v>
      </c>
      <c r="E56" s="6">
        <v>84.0</v>
      </c>
      <c r="F56" s="6">
        <v>84.0</v>
      </c>
      <c r="G56" s="6">
        <v>78.75</v>
      </c>
      <c r="H56" s="6">
        <v>93.75</v>
      </c>
      <c r="I56" s="6">
        <v>0.0</v>
      </c>
      <c r="J56" s="6">
        <v>2.25</v>
      </c>
      <c r="K56" s="6">
        <v>2.68</v>
      </c>
    </row>
    <row r="57" ht="15.0" hidden="1" customHeight="1" outlineLevel="1">
      <c r="D57" s="5">
        <v>14.0</v>
      </c>
      <c r="E57" s="6">
        <v>84.0</v>
      </c>
      <c r="F57" s="6">
        <v>84.0</v>
      </c>
      <c r="G57" s="6">
        <v>83.2</v>
      </c>
      <c r="H57" s="6">
        <v>99.05</v>
      </c>
      <c r="I57" s="6">
        <v>0.0</v>
      </c>
      <c r="J57" s="6">
        <v>2.5</v>
      </c>
      <c r="K57" s="6">
        <v>2.98</v>
      </c>
    </row>
    <row r="58" ht="15.0" hidden="1" customHeight="1" outlineLevel="1">
      <c r="D58" s="5">
        <v>15.0</v>
      </c>
      <c r="E58" s="6">
        <v>84.0</v>
      </c>
      <c r="F58" s="6">
        <v>70.0</v>
      </c>
      <c r="G58" s="6">
        <v>63.15</v>
      </c>
      <c r="H58" s="6">
        <v>90.21</v>
      </c>
      <c r="I58" s="6">
        <v>0.0</v>
      </c>
      <c r="J58" s="6">
        <v>2.25</v>
      </c>
      <c r="K58" s="6">
        <v>3.21</v>
      </c>
    </row>
    <row r="59" ht="15.0" hidden="1" customHeight="1" outlineLevel="1">
      <c r="D59" s="5">
        <v>16.0</v>
      </c>
      <c r="E59" s="6">
        <v>84.0</v>
      </c>
      <c r="F59" s="6">
        <v>70.0</v>
      </c>
      <c r="G59" s="6">
        <v>39.25</v>
      </c>
      <c r="H59" s="6">
        <v>56.07</v>
      </c>
      <c r="I59" s="6">
        <v>0.0</v>
      </c>
      <c r="J59" s="6">
        <v>0.25</v>
      </c>
      <c r="K59" s="6">
        <v>0.36</v>
      </c>
    </row>
    <row r="60" ht="15.0" hidden="1" customHeight="1" outlineLevel="1">
      <c r="D60" s="5">
        <v>17.0</v>
      </c>
      <c r="E60" s="6">
        <v>84.0</v>
      </c>
      <c r="F60" s="6">
        <v>70.0</v>
      </c>
      <c r="G60" s="6">
        <v>59.65</v>
      </c>
      <c r="H60" s="6">
        <v>85.21</v>
      </c>
      <c r="I60" s="6">
        <v>0.0</v>
      </c>
      <c r="J60" s="6">
        <v>0.25</v>
      </c>
      <c r="K60" s="6">
        <v>0.36</v>
      </c>
    </row>
    <row r="61" ht="15.0" hidden="1" customHeight="1" outlineLevel="1">
      <c r="D61" s="5">
        <v>18.0</v>
      </c>
      <c r="E61" s="6">
        <v>84.0</v>
      </c>
      <c r="F61" s="6">
        <v>70.0</v>
      </c>
      <c r="G61" s="6">
        <v>36.55</v>
      </c>
      <c r="H61" s="6">
        <v>52.21</v>
      </c>
      <c r="I61" s="6">
        <v>0.0</v>
      </c>
      <c r="J61" s="6">
        <v>0.25</v>
      </c>
      <c r="K61" s="6">
        <v>0.36</v>
      </c>
    </row>
    <row r="62" ht="15.0" hidden="1" customHeight="1" outlineLevel="1">
      <c r="D62" s="5">
        <v>19.0</v>
      </c>
      <c r="E62" s="6">
        <v>84.0</v>
      </c>
      <c r="F62" s="6">
        <v>70.0</v>
      </c>
      <c r="G62" s="6">
        <v>51.15</v>
      </c>
      <c r="H62" s="6">
        <v>73.07</v>
      </c>
      <c r="I62" s="6">
        <v>0.0</v>
      </c>
      <c r="J62" s="6">
        <v>2.25</v>
      </c>
      <c r="K62" s="6">
        <v>3.21</v>
      </c>
    </row>
    <row r="63" ht="15.0" hidden="1" customHeight="1" outlineLevel="1">
      <c r="D63" s="5">
        <v>20.0</v>
      </c>
      <c r="E63" s="6">
        <v>84.0</v>
      </c>
      <c r="F63" s="6">
        <v>84.0</v>
      </c>
      <c r="G63" s="6">
        <v>77.3</v>
      </c>
      <c r="H63" s="6">
        <v>92.02</v>
      </c>
      <c r="I63" s="6">
        <v>0.0</v>
      </c>
      <c r="J63" s="6">
        <v>0.5</v>
      </c>
      <c r="K63" s="6">
        <v>0.6</v>
      </c>
    </row>
    <row r="64" ht="15.0" hidden="1" customHeight="1" outlineLevel="1">
      <c r="D64" s="5">
        <v>21.0</v>
      </c>
      <c r="E64" s="6">
        <v>84.0</v>
      </c>
      <c r="F64" s="6">
        <v>70.0</v>
      </c>
      <c r="G64" s="6">
        <v>54.7</v>
      </c>
      <c r="H64" s="6">
        <v>78.14</v>
      </c>
      <c r="I64" s="6">
        <v>0.0</v>
      </c>
      <c r="J64" s="6">
        <v>2.5</v>
      </c>
      <c r="K64" s="6">
        <v>3.57</v>
      </c>
    </row>
    <row r="65" ht="15.0" hidden="1" customHeight="1" outlineLevel="1">
      <c r="D65" s="5">
        <v>22.0</v>
      </c>
      <c r="E65" s="6">
        <v>84.0</v>
      </c>
      <c r="F65" s="6">
        <v>70.0</v>
      </c>
      <c r="G65" s="6">
        <v>56.8</v>
      </c>
      <c r="H65" s="6">
        <v>81.14</v>
      </c>
      <c r="I65" s="6">
        <v>0.0</v>
      </c>
      <c r="J65" s="6">
        <v>2.5</v>
      </c>
      <c r="K65" s="6">
        <v>3.57</v>
      </c>
    </row>
    <row r="66" ht="15.0" hidden="1" customHeight="1" outlineLevel="1">
      <c r="D66" s="5">
        <v>23.0</v>
      </c>
      <c r="E66" s="6">
        <v>84.0</v>
      </c>
      <c r="F66" s="6">
        <v>70.0</v>
      </c>
      <c r="G66" s="6">
        <v>10.15</v>
      </c>
      <c r="H66" s="6">
        <v>14.5</v>
      </c>
      <c r="I66" s="6">
        <v>0.0</v>
      </c>
      <c r="J66" s="6">
        <v>0.25</v>
      </c>
      <c r="K66" s="6">
        <v>0.36</v>
      </c>
    </row>
    <row r="67" ht="15.0" hidden="1" customHeight="1" outlineLevel="1">
      <c r="D67" s="5">
        <v>24.0</v>
      </c>
      <c r="E67" s="6">
        <v>84.0</v>
      </c>
      <c r="F67" s="6">
        <v>70.0</v>
      </c>
      <c r="G67" s="6">
        <v>44.9</v>
      </c>
      <c r="H67" s="6">
        <v>64.14</v>
      </c>
      <c r="I67" s="6">
        <v>0.0</v>
      </c>
      <c r="J67" s="6">
        <v>0.5</v>
      </c>
      <c r="K67" s="6">
        <v>0.71</v>
      </c>
    </row>
    <row r="68" ht="15.0" customHeight="1" collapsed="1">
      <c r="A68" s="4">
        <v>6.0</v>
      </c>
      <c r="B68" s="4" t="s">
        <v>23</v>
      </c>
      <c r="C68" s="4" t="s">
        <v>24</v>
      </c>
    </row>
    <row r="69" ht="15.0" customHeight="1" outlineLevel="1">
      <c r="D69" s="5">
        <v>13.0</v>
      </c>
      <c r="E69" s="6">
        <v>84.0</v>
      </c>
      <c r="F69" s="6">
        <v>70.0</v>
      </c>
      <c r="G69" s="6">
        <v>63.5</v>
      </c>
      <c r="H69" s="6">
        <v>90.71</v>
      </c>
      <c r="I69" s="6">
        <v>0.0</v>
      </c>
      <c r="J69" s="6">
        <v>12.5</v>
      </c>
      <c r="K69" s="6">
        <v>17.86</v>
      </c>
      <c r="L69" s="7">
        <f t="shared" ref="L69:L80" si="1">F69-70</f>
        <v>0</v>
      </c>
    </row>
    <row r="70" ht="15.0" customHeight="1" outlineLevel="1">
      <c r="D70" s="5">
        <v>14.0</v>
      </c>
      <c r="E70" s="6">
        <v>84.0</v>
      </c>
      <c r="F70" s="6">
        <v>70.0</v>
      </c>
      <c r="G70" s="6">
        <v>62.0</v>
      </c>
      <c r="H70" s="6">
        <v>88.57</v>
      </c>
      <c r="I70" s="6">
        <v>0.0</v>
      </c>
      <c r="J70" s="6">
        <v>11.5</v>
      </c>
      <c r="K70" s="6">
        <v>16.43</v>
      </c>
      <c r="L70" s="7">
        <f t="shared" si="1"/>
        <v>0</v>
      </c>
    </row>
    <row r="71" ht="15.0" customHeight="1" outlineLevel="1">
      <c r="D71" s="5">
        <v>15.0</v>
      </c>
      <c r="E71" s="6">
        <v>84.0</v>
      </c>
      <c r="F71" s="6">
        <v>84.0</v>
      </c>
      <c r="G71" s="6">
        <v>68.0</v>
      </c>
      <c r="H71" s="6">
        <v>80.95</v>
      </c>
      <c r="I71" s="6">
        <v>0.0</v>
      </c>
      <c r="J71" s="6">
        <v>12.5</v>
      </c>
      <c r="K71" s="6">
        <v>14.88</v>
      </c>
      <c r="L71" s="7">
        <f t="shared" si="1"/>
        <v>14</v>
      </c>
    </row>
    <row r="72" ht="15.0" customHeight="1" outlineLevel="1">
      <c r="D72" s="5">
        <v>16.0</v>
      </c>
      <c r="E72" s="6">
        <v>84.0</v>
      </c>
      <c r="F72" s="6">
        <v>84.0</v>
      </c>
      <c r="G72" s="6">
        <v>69.0</v>
      </c>
      <c r="H72" s="6">
        <v>82.14</v>
      </c>
      <c r="I72" s="6">
        <v>0.0</v>
      </c>
      <c r="J72" s="6">
        <v>12.5</v>
      </c>
      <c r="K72" s="6">
        <v>14.88</v>
      </c>
      <c r="L72" s="7">
        <f t="shared" si="1"/>
        <v>14</v>
      </c>
    </row>
    <row r="73" ht="15.0" customHeight="1" outlineLevel="1">
      <c r="D73" s="5">
        <v>17.0</v>
      </c>
      <c r="E73" s="6">
        <v>84.0</v>
      </c>
      <c r="F73" s="6">
        <v>70.0</v>
      </c>
      <c r="G73" s="6">
        <v>59.5</v>
      </c>
      <c r="H73" s="6">
        <v>85.0</v>
      </c>
      <c r="I73" s="6">
        <v>0.0</v>
      </c>
      <c r="J73" s="6">
        <v>11.0</v>
      </c>
      <c r="K73" s="6">
        <v>15.71</v>
      </c>
      <c r="L73" s="7">
        <f t="shared" si="1"/>
        <v>0</v>
      </c>
    </row>
    <row r="74" ht="15.0" customHeight="1" outlineLevel="1">
      <c r="D74" s="5">
        <v>18.0</v>
      </c>
      <c r="E74" s="6">
        <v>84.0</v>
      </c>
      <c r="F74" s="6">
        <v>70.0</v>
      </c>
      <c r="G74" s="6">
        <v>55.5</v>
      </c>
      <c r="H74" s="6">
        <v>79.29</v>
      </c>
      <c r="I74" s="6">
        <v>0.0</v>
      </c>
      <c r="J74" s="6">
        <v>10.0</v>
      </c>
      <c r="K74" s="6">
        <v>14.29</v>
      </c>
      <c r="L74" s="7">
        <f t="shared" si="1"/>
        <v>0</v>
      </c>
    </row>
    <row r="75" ht="15.0" customHeight="1" outlineLevel="1">
      <c r="D75" s="5">
        <v>19.0</v>
      </c>
      <c r="E75" s="6">
        <v>84.0</v>
      </c>
      <c r="F75" s="6">
        <v>70.0</v>
      </c>
      <c r="G75" s="6">
        <v>59.5</v>
      </c>
      <c r="H75" s="6">
        <v>85.0</v>
      </c>
      <c r="I75" s="6">
        <v>0.0</v>
      </c>
      <c r="J75" s="6">
        <v>11.0</v>
      </c>
      <c r="K75" s="6">
        <v>15.71</v>
      </c>
      <c r="L75" s="7">
        <f t="shared" si="1"/>
        <v>0</v>
      </c>
    </row>
    <row r="76" ht="15.0" customHeight="1" outlineLevel="1">
      <c r="D76" s="5">
        <v>20.0</v>
      </c>
      <c r="E76" s="6">
        <v>84.0</v>
      </c>
      <c r="F76" s="6">
        <v>70.0</v>
      </c>
      <c r="G76" s="6">
        <v>63.5</v>
      </c>
      <c r="H76" s="6">
        <v>90.71</v>
      </c>
      <c r="I76" s="6">
        <v>0.0</v>
      </c>
      <c r="J76" s="6">
        <v>12.0</v>
      </c>
      <c r="K76" s="6">
        <v>17.14</v>
      </c>
      <c r="L76" s="7">
        <f t="shared" si="1"/>
        <v>0</v>
      </c>
    </row>
    <row r="77" ht="15.0" customHeight="1" outlineLevel="1">
      <c r="D77" s="5">
        <v>21.0</v>
      </c>
      <c r="E77" s="6">
        <v>84.0</v>
      </c>
      <c r="F77" s="6">
        <v>70.0</v>
      </c>
      <c r="G77" s="6">
        <v>63.5</v>
      </c>
      <c r="H77" s="6">
        <v>90.71</v>
      </c>
      <c r="I77" s="6">
        <v>0.0</v>
      </c>
      <c r="J77" s="6">
        <v>12.0</v>
      </c>
      <c r="K77" s="6">
        <v>17.14</v>
      </c>
      <c r="L77" s="7">
        <f t="shared" si="1"/>
        <v>0</v>
      </c>
    </row>
    <row r="78" ht="15.0" customHeight="1" outlineLevel="1">
      <c r="D78" s="5">
        <v>22.0</v>
      </c>
      <c r="E78" s="6">
        <v>84.0</v>
      </c>
      <c r="F78" s="6">
        <v>70.0</v>
      </c>
      <c r="G78" s="6">
        <v>62.0</v>
      </c>
      <c r="H78" s="6">
        <v>88.57</v>
      </c>
      <c r="I78" s="6">
        <v>0.0</v>
      </c>
      <c r="J78" s="6">
        <v>11.5</v>
      </c>
      <c r="K78" s="6">
        <v>16.43</v>
      </c>
      <c r="L78" s="7">
        <f t="shared" si="1"/>
        <v>0</v>
      </c>
    </row>
    <row r="79" ht="15.0" customHeight="1" outlineLevel="1">
      <c r="D79" s="5">
        <v>23.0</v>
      </c>
      <c r="E79" s="6">
        <v>84.0</v>
      </c>
      <c r="F79" s="6">
        <v>70.0</v>
      </c>
      <c r="G79" s="6">
        <v>62.5</v>
      </c>
      <c r="H79" s="6">
        <v>89.29</v>
      </c>
      <c r="I79" s="6">
        <v>0.0</v>
      </c>
      <c r="J79" s="6">
        <v>11.5</v>
      </c>
      <c r="K79" s="6">
        <v>16.43</v>
      </c>
      <c r="L79" s="7">
        <f t="shared" si="1"/>
        <v>0</v>
      </c>
    </row>
    <row r="80" ht="15.0" customHeight="1" outlineLevel="1">
      <c r="D80" s="5">
        <v>24.0</v>
      </c>
      <c r="E80" s="6">
        <v>84.0</v>
      </c>
      <c r="F80" s="6">
        <v>70.0</v>
      </c>
      <c r="G80" s="6">
        <v>64.5</v>
      </c>
      <c r="H80" s="6">
        <v>92.14</v>
      </c>
      <c r="I80" s="6">
        <v>0.0</v>
      </c>
      <c r="J80" s="6">
        <v>13.0</v>
      </c>
      <c r="K80" s="6">
        <v>18.57</v>
      </c>
      <c r="L80" s="7">
        <f t="shared" si="1"/>
        <v>0</v>
      </c>
    </row>
    <row r="81" ht="15.0" customHeight="1">
      <c r="A81" s="4">
        <v>7.0</v>
      </c>
      <c r="B81" s="4" t="s">
        <v>25</v>
      </c>
      <c r="C81" s="4" t="s">
        <v>26</v>
      </c>
    </row>
    <row r="82" ht="15.0" customHeight="1" outlineLevel="1">
      <c r="D82" s="5">
        <v>13.0</v>
      </c>
      <c r="E82" s="6">
        <v>84.0</v>
      </c>
      <c r="F82" s="6">
        <v>56.0</v>
      </c>
      <c r="G82" s="6">
        <v>51.5</v>
      </c>
      <c r="H82" s="6">
        <v>91.96</v>
      </c>
      <c r="I82" s="6">
        <v>14.0</v>
      </c>
      <c r="J82" s="6">
        <v>9.5</v>
      </c>
      <c r="K82" s="6">
        <v>16.96</v>
      </c>
      <c r="L82" s="7">
        <f t="shared" ref="L82:L93" si="2">F82-70</f>
        <v>-14</v>
      </c>
    </row>
    <row r="83" ht="15.0" customHeight="1" outlineLevel="1">
      <c r="D83" s="5">
        <v>14.0</v>
      </c>
      <c r="E83" s="6">
        <v>84.0</v>
      </c>
      <c r="F83" s="6">
        <v>70.0</v>
      </c>
      <c r="G83" s="6">
        <v>56.0</v>
      </c>
      <c r="H83" s="6">
        <v>80.0</v>
      </c>
      <c r="I83" s="6">
        <v>0.0</v>
      </c>
      <c r="J83" s="6">
        <v>10.5</v>
      </c>
      <c r="K83" s="6">
        <v>15.0</v>
      </c>
      <c r="L83" s="7">
        <f t="shared" si="2"/>
        <v>0</v>
      </c>
    </row>
    <row r="84" ht="15.0" customHeight="1" outlineLevel="1">
      <c r="D84" s="5">
        <v>15.0</v>
      </c>
      <c r="E84" s="6">
        <v>84.0</v>
      </c>
      <c r="F84" s="6">
        <v>70.0</v>
      </c>
      <c r="G84" s="6">
        <v>62.0</v>
      </c>
      <c r="H84" s="6">
        <v>88.57</v>
      </c>
      <c r="I84" s="6">
        <v>0.0</v>
      </c>
      <c r="J84" s="6">
        <v>11.5</v>
      </c>
      <c r="K84" s="6">
        <v>16.43</v>
      </c>
      <c r="L84" s="7">
        <f t="shared" si="2"/>
        <v>0</v>
      </c>
    </row>
    <row r="85" ht="15.0" customHeight="1" outlineLevel="1">
      <c r="D85" s="5">
        <v>16.0</v>
      </c>
      <c r="E85" s="6">
        <v>84.0</v>
      </c>
      <c r="F85" s="6">
        <v>70.0</v>
      </c>
      <c r="G85" s="6">
        <v>56.0</v>
      </c>
      <c r="H85" s="6">
        <v>80.0</v>
      </c>
      <c r="I85" s="6">
        <v>0.0</v>
      </c>
      <c r="J85" s="6">
        <v>10.5</v>
      </c>
      <c r="K85" s="6">
        <v>15.0</v>
      </c>
      <c r="L85" s="7">
        <f t="shared" si="2"/>
        <v>0</v>
      </c>
    </row>
    <row r="86" ht="15.0" customHeight="1" outlineLevel="1">
      <c r="D86" s="5">
        <v>17.0</v>
      </c>
      <c r="E86" s="6">
        <v>84.0</v>
      </c>
      <c r="F86" s="6">
        <v>70.0</v>
      </c>
      <c r="G86" s="6">
        <v>60.5</v>
      </c>
      <c r="H86" s="6">
        <v>86.43</v>
      </c>
      <c r="I86" s="6">
        <v>0.0</v>
      </c>
      <c r="J86" s="6">
        <v>11.0</v>
      </c>
      <c r="K86" s="6">
        <v>15.71</v>
      </c>
      <c r="L86" s="7">
        <f t="shared" si="2"/>
        <v>0</v>
      </c>
    </row>
    <row r="87" ht="15.0" customHeight="1" outlineLevel="1">
      <c r="D87" s="5">
        <v>18.0</v>
      </c>
      <c r="E87" s="6">
        <v>84.0</v>
      </c>
      <c r="F87" s="6">
        <v>56.0</v>
      </c>
      <c r="G87" s="6">
        <v>49.5</v>
      </c>
      <c r="H87" s="6">
        <v>88.39</v>
      </c>
      <c r="I87" s="6">
        <v>14.0</v>
      </c>
      <c r="J87" s="6">
        <v>9.0</v>
      </c>
      <c r="K87" s="6">
        <v>16.07</v>
      </c>
      <c r="L87" s="7">
        <f t="shared" si="2"/>
        <v>-14</v>
      </c>
    </row>
    <row r="88" ht="15.0" customHeight="1" outlineLevel="1">
      <c r="D88" s="5">
        <v>19.0</v>
      </c>
      <c r="E88" s="6">
        <v>84.0</v>
      </c>
      <c r="F88" s="6">
        <v>70.0</v>
      </c>
      <c r="G88" s="6">
        <v>65.5</v>
      </c>
      <c r="H88" s="6">
        <v>93.57</v>
      </c>
      <c r="I88" s="6">
        <v>0.0</v>
      </c>
      <c r="J88" s="6">
        <v>14.0</v>
      </c>
      <c r="K88" s="6">
        <v>20.0</v>
      </c>
      <c r="L88" s="7">
        <f t="shared" si="2"/>
        <v>0</v>
      </c>
    </row>
    <row r="89" ht="15.0" customHeight="1" outlineLevel="1">
      <c r="D89" s="5">
        <v>20.0</v>
      </c>
      <c r="E89" s="6">
        <v>84.0</v>
      </c>
      <c r="F89" s="6">
        <v>70.0</v>
      </c>
      <c r="G89" s="6">
        <v>57.0</v>
      </c>
      <c r="H89" s="6">
        <v>81.43</v>
      </c>
      <c r="I89" s="6">
        <v>0.0</v>
      </c>
      <c r="J89" s="6">
        <v>12.0</v>
      </c>
      <c r="K89" s="6">
        <v>17.14</v>
      </c>
      <c r="L89" s="7">
        <f t="shared" si="2"/>
        <v>0</v>
      </c>
    </row>
    <row r="90" ht="15.0" customHeight="1" outlineLevel="1">
      <c r="D90" s="5">
        <v>21.0</v>
      </c>
      <c r="E90" s="6">
        <v>84.0</v>
      </c>
      <c r="F90" s="6">
        <v>70.0</v>
      </c>
      <c r="G90" s="6">
        <v>61.0</v>
      </c>
      <c r="H90" s="6">
        <v>87.14</v>
      </c>
      <c r="I90" s="6">
        <v>0.0</v>
      </c>
      <c r="J90" s="6">
        <v>11.5</v>
      </c>
      <c r="K90" s="6">
        <v>16.43</v>
      </c>
      <c r="L90" s="7">
        <f t="shared" si="2"/>
        <v>0</v>
      </c>
    </row>
    <row r="91" ht="15.0" customHeight="1" outlineLevel="1">
      <c r="D91" s="5">
        <v>22.0</v>
      </c>
      <c r="E91" s="6">
        <v>84.0</v>
      </c>
      <c r="F91" s="6">
        <v>70.0</v>
      </c>
      <c r="G91" s="6">
        <v>56.0</v>
      </c>
      <c r="H91" s="6">
        <v>80.0</v>
      </c>
      <c r="I91" s="6">
        <v>0.0</v>
      </c>
      <c r="J91" s="6">
        <v>10.5</v>
      </c>
      <c r="K91" s="6">
        <v>15.0</v>
      </c>
      <c r="L91" s="7">
        <f t="shared" si="2"/>
        <v>0</v>
      </c>
    </row>
    <row r="92" ht="15.0" customHeight="1" outlineLevel="1">
      <c r="D92" s="5">
        <v>23.0</v>
      </c>
      <c r="E92" s="6">
        <v>84.0</v>
      </c>
      <c r="F92" s="6">
        <v>70.0</v>
      </c>
      <c r="G92" s="6">
        <v>56.5</v>
      </c>
      <c r="H92" s="6">
        <v>80.71</v>
      </c>
      <c r="I92" s="6">
        <v>0.0</v>
      </c>
      <c r="J92" s="6">
        <v>10.5</v>
      </c>
      <c r="K92" s="6">
        <v>15.0</v>
      </c>
      <c r="L92" s="7">
        <f t="shared" si="2"/>
        <v>0</v>
      </c>
    </row>
    <row r="93" ht="15.0" customHeight="1" outlineLevel="1">
      <c r="D93" s="5">
        <v>24.0</v>
      </c>
      <c r="E93" s="6">
        <v>84.0</v>
      </c>
      <c r="F93" s="6">
        <v>70.0</v>
      </c>
      <c r="G93" s="6">
        <v>63.5</v>
      </c>
      <c r="H93" s="6">
        <v>90.71</v>
      </c>
      <c r="I93" s="6">
        <v>0.0</v>
      </c>
      <c r="J93" s="6">
        <v>11.0</v>
      </c>
      <c r="K93" s="6">
        <v>15.71</v>
      </c>
      <c r="L93" s="7">
        <f t="shared" si="2"/>
        <v>0</v>
      </c>
    </row>
    <row r="94" ht="15.0" customHeight="1">
      <c r="A94" s="4">
        <v>8.0</v>
      </c>
      <c r="B94" s="4" t="s">
        <v>27</v>
      </c>
      <c r="C94" s="4" t="s">
        <v>28</v>
      </c>
    </row>
    <row r="95" ht="15.0" customHeight="1" outlineLevel="1">
      <c r="D95" s="5">
        <v>13.0</v>
      </c>
      <c r="E95" s="6">
        <v>84.0</v>
      </c>
      <c r="F95" s="6">
        <v>56.0</v>
      </c>
      <c r="G95" s="6">
        <v>50.0</v>
      </c>
      <c r="H95" s="6">
        <v>89.29</v>
      </c>
      <c r="I95" s="6">
        <v>14.0</v>
      </c>
      <c r="J95" s="6">
        <v>8.5</v>
      </c>
      <c r="K95" s="6">
        <v>15.18</v>
      </c>
      <c r="L95" s="7">
        <f t="shared" ref="L95:L106" si="3">F95-70</f>
        <v>-14</v>
      </c>
    </row>
    <row r="96" ht="15.0" customHeight="1" outlineLevel="1">
      <c r="D96" s="5">
        <v>14.0</v>
      </c>
      <c r="E96" s="6">
        <v>84.0</v>
      </c>
      <c r="F96" s="6">
        <v>70.0</v>
      </c>
      <c r="G96" s="6">
        <v>59.0</v>
      </c>
      <c r="H96" s="6">
        <v>84.29</v>
      </c>
      <c r="I96" s="6">
        <v>0.0</v>
      </c>
      <c r="J96" s="6">
        <v>10.0</v>
      </c>
      <c r="K96" s="6">
        <v>14.29</v>
      </c>
      <c r="L96" s="7">
        <f t="shared" si="3"/>
        <v>0</v>
      </c>
    </row>
    <row r="97" ht="15.0" customHeight="1" outlineLevel="1">
      <c r="D97" s="5">
        <v>15.0</v>
      </c>
      <c r="E97" s="6">
        <v>84.0</v>
      </c>
      <c r="F97" s="6">
        <v>70.0</v>
      </c>
      <c r="G97" s="6">
        <v>60.0</v>
      </c>
      <c r="H97" s="6">
        <v>85.71</v>
      </c>
      <c r="I97" s="6">
        <v>0.0</v>
      </c>
      <c r="J97" s="6">
        <v>10.5</v>
      </c>
      <c r="K97" s="6">
        <v>15.0</v>
      </c>
      <c r="L97" s="7">
        <f t="shared" si="3"/>
        <v>0</v>
      </c>
    </row>
    <row r="98" ht="15.0" customHeight="1" outlineLevel="1">
      <c r="D98" s="5">
        <v>16.0</v>
      </c>
      <c r="E98" s="6">
        <v>84.0</v>
      </c>
      <c r="F98" s="6">
        <v>70.0</v>
      </c>
      <c r="G98" s="6">
        <v>59.0</v>
      </c>
      <c r="H98" s="6">
        <v>84.29</v>
      </c>
      <c r="I98" s="6">
        <v>0.0</v>
      </c>
      <c r="J98" s="6">
        <v>10.0</v>
      </c>
      <c r="K98" s="6">
        <v>14.29</v>
      </c>
      <c r="L98" s="7">
        <f t="shared" si="3"/>
        <v>0</v>
      </c>
    </row>
    <row r="99" ht="15.0" customHeight="1" outlineLevel="1">
      <c r="D99" s="5">
        <v>17.0</v>
      </c>
      <c r="E99" s="6">
        <v>84.0</v>
      </c>
      <c r="F99" s="6">
        <v>70.0</v>
      </c>
      <c r="G99" s="6">
        <v>60.0</v>
      </c>
      <c r="H99" s="6">
        <v>85.71</v>
      </c>
      <c r="I99" s="6">
        <v>0.0</v>
      </c>
      <c r="J99" s="6">
        <v>11.5</v>
      </c>
      <c r="K99" s="6">
        <v>16.43</v>
      </c>
      <c r="L99" s="7">
        <f t="shared" si="3"/>
        <v>0</v>
      </c>
    </row>
    <row r="100" ht="15.0" customHeight="1" outlineLevel="1">
      <c r="D100" s="5">
        <v>18.0</v>
      </c>
      <c r="E100" s="6">
        <v>84.0</v>
      </c>
      <c r="F100" s="6">
        <v>56.0</v>
      </c>
      <c r="G100" s="6">
        <v>49.0</v>
      </c>
      <c r="H100" s="6">
        <v>87.5</v>
      </c>
      <c r="I100" s="6">
        <v>14.0</v>
      </c>
      <c r="J100" s="6">
        <v>8.5</v>
      </c>
      <c r="K100" s="6">
        <v>15.18</v>
      </c>
      <c r="L100" s="7">
        <f t="shared" si="3"/>
        <v>-14</v>
      </c>
    </row>
    <row r="101" ht="15.0" customHeight="1" outlineLevel="1">
      <c r="D101" s="5">
        <v>19.0</v>
      </c>
      <c r="E101" s="6">
        <v>84.0</v>
      </c>
      <c r="F101" s="6">
        <v>56.0</v>
      </c>
      <c r="G101" s="6">
        <v>51.5</v>
      </c>
      <c r="H101" s="6">
        <v>91.96</v>
      </c>
      <c r="I101" s="6">
        <v>14.0</v>
      </c>
      <c r="J101" s="6">
        <v>9.0</v>
      </c>
      <c r="K101" s="6">
        <v>16.07</v>
      </c>
      <c r="L101" s="7">
        <f t="shared" si="3"/>
        <v>-14</v>
      </c>
    </row>
    <row r="102" ht="15.0" customHeight="1" outlineLevel="1">
      <c r="D102" s="5">
        <v>20.0</v>
      </c>
      <c r="E102" s="6">
        <v>84.0</v>
      </c>
      <c r="F102" s="6">
        <v>70.0</v>
      </c>
      <c r="G102" s="6">
        <v>64.0</v>
      </c>
      <c r="H102" s="6">
        <v>91.43</v>
      </c>
      <c r="I102" s="6">
        <v>0.0</v>
      </c>
      <c r="J102" s="6">
        <v>11.0</v>
      </c>
      <c r="K102" s="6">
        <v>15.71</v>
      </c>
      <c r="L102" s="7">
        <f t="shared" si="3"/>
        <v>0</v>
      </c>
    </row>
    <row r="103" ht="15.0" customHeight="1" outlineLevel="1">
      <c r="D103" s="5">
        <v>21.0</v>
      </c>
      <c r="E103" s="6">
        <v>84.0</v>
      </c>
      <c r="F103" s="6">
        <v>70.0</v>
      </c>
      <c r="G103" s="6">
        <v>64.0</v>
      </c>
      <c r="H103" s="6">
        <v>91.43</v>
      </c>
      <c r="I103" s="6">
        <v>0.0</v>
      </c>
      <c r="J103" s="6">
        <v>12.5</v>
      </c>
      <c r="K103" s="6">
        <v>17.86</v>
      </c>
      <c r="L103" s="7">
        <f t="shared" si="3"/>
        <v>0</v>
      </c>
    </row>
    <row r="104" ht="15.0" customHeight="1" outlineLevel="1">
      <c r="D104" s="5">
        <v>22.0</v>
      </c>
      <c r="E104" s="6">
        <v>84.0</v>
      </c>
      <c r="F104" s="6">
        <v>70.0</v>
      </c>
      <c r="G104" s="6">
        <v>64.0</v>
      </c>
      <c r="H104" s="6">
        <v>91.43</v>
      </c>
      <c r="I104" s="6">
        <v>0.0</v>
      </c>
      <c r="J104" s="6">
        <v>12.5</v>
      </c>
      <c r="K104" s="6">
        <v>17.86</v>
      </c>
      <c r="L104" s="7">
        <f t="shared" si="3"/>
        <v>0</v>
      </c>
    </row>
    <row r="105" ht="15.0" customHeight="1" outlineLevel="1">
      <c r="D105" s="5">
        <v>23.0</v>
      </c>
      <c r="E105" s="6">
        <v>84.0</v>
      </c>
      <c r="F105" s="6">
        <v>70.0</v>
      </c>
      <c r="G105" s="6">
        <v>58.5</v>
      </c>
      <c r="H105" s="6">
        <v>83.57</v>
      </c>
      <c r="I105" s="6">
        <v>0.0</v>
      </c>
      <c r="J105" s="6">
        <v>11.5</v>
      </c>
      <c r="K105" s="6">
        <v>16.43</v>
      </c>
      <c r="L105" s="7">
        <f t="shared" si="3"/>
        <v>0</v>
      </c>
    </row>
    <row r="106" ht="15.0" customHeight="1" outlineLevel="1">
      <c r="D106" s="5">
        <v>24.0</v>
      </c>
      <c r="E106" s="6">
        <v>84.0</v>
      </c>
      <c r="F106" s="6">
        <v>56.0</v>
      </c>
      <c r="G106" s="6">
        <v>44.5</v>
      </c>
      <c r="H106" s="6">
        <v>79.46</v>
      </c>
      <c r="I106" s="6">
        <v>14.0</v>
      </c>
      <c r="J106" s="6">
        <v>8.5</v>
      </c>
      <c r="K106" s="6">
        <v>15.18</v>
      </c>
      <c r="L106" s="7">
        <f t="shared" si="3"/>
        <v>-14</v>
      </c>
    </row>
    <row r="107" ht="15.0" customHeight="1">
      <c r="A107" s="4">
        <v>9.0</v>
      </c>
      <c r="B107" s="4" t="s">
        <v>29</v>
      </c>
      <c r="C107" s="4" t="s">
        <v>30</v>
      </c>
    </row>
    <row r="108" ht="15.0" customHeight="1" outlineLevel="1">
      <c r="D108" s="5">
        <v>13.0</v>
      </c>
      <c r="E108" s="6">
        <v>42.0</v>
      </c>
      <c r="F108" s="6">
        <v>42.0</v>
      </c>
      <c r="G108" s="6">
        <v>25.36</v>
      </c>
      <c r="H108" s="6">
        <v>60.38</v>
      </c>
      <c r="I108" s="6">
        <v>0.0</v>
      </c>
      <c r="J108" s="6">
        <v>5.8</v>
      </c>
      <c r="K108" s="6">
        <v>13.81</v>
      </c>
      <c r="L108" s="7">
        <f>F108-70</f>
        <v>-28</v>
      </c>
    </row>
    <row r="109" ht="15.0" customHeight="1" outlineLevel="1">
      <c r="D109" s="5">
        <v>14.0</v>
      </c>
      <c r="E109" s="6">
        <v>42.0</v>
      </c>
      <c r="F109" s="6">
        <v>42.0</v>
      </c>
      <c r="G109" s="6">
        <v>27.52</v>
      </c>
      <c r="H109" s="6">
        <v>65.52</v>
      </c>
      <c r="I109" s="6">
        <v>0.0</v>
      </c>
      <c r="J109" s="6">
        <v>6.4</v>
      </c>
      <c r="K109" s="6">
        <v>15.24</v>
      </c>
    </row>
    <row r="110" ht="15.0" customHeight="1" outlineLevel="1">
      <c r="D110" s="5">
        <v>15.0</v>
      </c>
      <c r="E110" s="6">
        <v>42.0</v>
      </c>
      <c r="F110" s="6">
        <v>42.0</v>
      </c>
      <c r="G110" s="6">
        <v>29.24</v>
      </c>
      <c r="H110" s="6">
        <v>69.62</v>
      </c>
      <c r="I110" s="6">
        <v>0.0</v>
      </c>
      <c r="J110" s="6">
        <v>6.8</v>
      </c>
      <c r="K110" s="6">
        <v>16.19</v>
      </c>
    </row>
    <row r="111" ht="15.0" customHeight="1" outlineLevel="1">
      <c r="D111" s="5">
        <v>16.0</v>
      </c>
      <c r="E111" s="6">
        <v>42.0</v>
      </c>
      <c r="F111" s="6">
        <v>42.0</v>
      </c>
      <c r="G111" s="6">
        <v>27.98</v>
      </c>
      <c r="H111" s="6">
        <v>66.62</v>
      </c>
      <c r="I111" s="6">
        <v>0.0</v>
      </c>
      <c r="J111" s="6">
        <v>6.5</v>
      </c>
      <c r="K111" s="6">
        <v>15.48</v>
      </c>
    </row>
    <row r="112" ht="15.0" customHeight="1" outlineLevel="1">
      <c r="D112" s="5">
        <v>17.0</v>
      </c>
      <c r="E112" s="6">
        <v>42.0</v>
      </c>
      <c r="F112" s="6">
        <v>42.0</v>
      </c>
      <c r="G112" s="6">
        <v>27.76</v>
      </c>
      <c r="H112" s="6">
        <v>66.1</v>
      </c>
      <c r="I112" s="6">
        <v>0.0</v>
      </c>
      <c r="J112" s="6">
        <v>6.4</v>
      </c>
      <c r="K112" s="6">
        <v>15.24</v>
      </c>
    </row>
    <row r="113" ht="15.0" customHeight="1" outlineLevel="1">
      <c r="D113" s="5">
        <v>18.0</v>
      </c>
      <c r="E113" s="6">
        <v>42.0</v>
      </c>
      <c r="F113" s="6">
        <v>42.0</v>
      </c>
      <c r="G113" s="6">
        <v>23.74</v>
      </c>
      <c r="H113" s="6">
        <v>56.52</v>
      </c>
      <c r="I113" s="6">
        <v>0.0</v>
      </c>
      <c r="J113" s="6">
        <v>5.5</v>
      </c>
      <c r="K113" s="6">
        <v>13.1</v>
      </c>
    </row>
    <row r="114" ht="15.0" customHeight="1" outlineLevel="1">
      <c r="D114" s="5">
        <v>19.0</v>
      </c>
      <c r="E114" s="6">
        <v>42.0</v>
      </c>
      <c r="F114" s="6">
        <v>42.0</v>
      </c>
      <c r="G114" s="6">
        <v>26.96</v>
      </c>
      <c r="H114" s="6">
        <v>64.19</v>
      </c>
      <c r="I114" s="6">
        <v>0.0</v>
      </c>
      <c r="J114" s="6">
        <v>6.2</v>
      </c>
      <c r="K114" s="6">
        <v>14.76</v>
      </c>
    </row>
    <row r="115" ht="15.0" customHeight="1" outlineLevel="1">
      <c r="D115" s="5">
        <v>20.0</v>
      </c>
      <c r="E115" s="6">
        <v>42.0</v>
      </c>
      <c r="F115" s="6">
        <v>42.0</v>
      </c>
      <c r="G115" s="6">
        <v>28.66</v>
      </c>
      <c r="H115" s="6">
        <v>68.24</v>
      </c>
      <c r="I115" s="6">
        <v>0.0</v>
      </c>
      <c r="J115" s="6">
        <v>6.7</v>
      </c>
      <c r="K115" s="6">
        <v>15.95</v>
      </c>
    </row>
    <row r="116" ht="15.0" customHeight="1" outlineLevel="1">
      <c r="D116" s="5">
        <v>21.0</v>
      </c>
      <c r="E116" s="6">
        <v>42.0</v>
      </c>
      <c r="F116" s="6">
        <v>42.0</v>
      </c>
      <c r="G116" s="6">
        <v>29.22</v>
      </c>
      <c r="H116" s="6">
        <v>69.57</v>
      </c>
      <c r="I116" s="6">
        <v>0.0</v>
      </c>
      <c r="J116" s="6">
        <v>6.9</v>
      </c>
      <c r="K116" s="6">
        <v>16.43</v>
      </c>
    </row>
    <row r="117" ht="15.0" customHeight="1" outlineLevel="1">
      <c r="D117" s="5">
        <v>22.0</v>
      </c>
      <c r="E117" s="6">
        <v>42.0</v>
      </c>
      <c r="F117" s="6">
        <v>42.0</v>
      </c>
      <c r="G117" s="6">
        <v>28.08</v>
      </c>
      <c r="H117" s="6">
        <v>66.86</v>
      </c>
      <c r="I117" s="6">
        <v>0.0</v>
      </c>
      <c r="J117" s="6">
        <v>6.6</v>
      </c>
      <c r="K117" s="6">
        <v>15.71</v>
      </c>
    </row>
    <row r="118" ht="15.0" customHeight="1" outlineLevel="1">
      <c r="D118" s="5">
        <v>23.0</v>
      </c>
      <c r="E118" s="6">
        <v>42.0</v>
      </c>
      <c r="F118" s="6">
        <v>42.0</v>
      </c>
      <c r="G118" s="6">
        <v>27.52</v>
      </c>
      <c r="H118" s="6">
        <v>65.52</v>
      </c>
      <c r="I118" s="6">
        <v>0.0</v>
      </c>
      <c r="J118" s="6">
        <v>6.4</v>
      </c>
      <c r="K118" s="6">
        <v>15.24</v>
      </c>
    </row>
    <row r="119" ht="15.0" customHeight="1" outlineLevel="1">
      <c r="D119" s="5">
        <v>24.0</v>
      </c>
      <c r="E119" s="6">
        <v>42.0</v>
      </c>
      <c r="F119" s="6">
        <v>42.0</v>
      </c>
      <c r="G119" s="6">
        <v>26.36</v>
      </c>
      <c r="H119" s="6">
        <v>62.76</v>
      </c>
      <c r="I119" s="6">
        <v>0.0</v>
      </c>
      <c r="J119" s="6">
        <v>6.2</v>
      </c>
      <c r="K119" s="6">
        <v>14.76</v>
      </c>
    </row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" t="s">
        <v>1</v>
      </c>
      <c r="B1" s="3" t="s">
        <v>31</v>
      </c>
    </row>
    <row r="2">
      <c r="A2" s="3" t="s">
        <v>32</v>
      </c>
      <c r="B2" s="7">
        <f>AVERAGE(Relatorio_Carga_Maquina1!H69:H80)</f>
        <v>86.92333333</v>
      </c>
    </row>
    <row r="3">
      <c r="A3" s="3" t="s">
        <v>33</v>
      </c>
      <c r="B3" s="7">
        <f>AVERAGE(Relatorio_Carga_Maquina1!H82:H93)</f>
        <v>85.7425</v>
      </c>
    </row>
    <row r="4">
      <c r="A4" s="3" t="s">
        <v>34</v>
      </c>
      <c r="B4" s="7">
        <f>AVERAGE(Relatorio_Carga_Maquina1!H95:H106)</f>
        <v>87.1725</v>
      </c>
    </row>
    <row r="5">
      <c r="A5" s="3" t="s">
        <v>35</v>
      </c>
      <c r="B5" s="7">
        <f>AVERAGE(Relatorio_Carga_Maquina1!H108:H119)</f>
        <v>65.15833333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38"/>
  </cols>
  <sheetData>
    <row r="1">
      <c r="A1" s="8" t="s">
        <v>1</v>
      </c>
      <c r="B1" s="8" t="s">
        <v>36</v>
      </c>
      <c r="C1" s="8" t="s">
        <v>37</v>
      </c>
    </row>
    <row r="2">
      <c r="A2" s="3" t="s">
        <v>32</v>
      </c>
      <c r="B2" s="9">
        <f>SUM(Relatorio_Carga_Maquina1!I69:I80)</f>
        <v>0</v>
      </c>
    </row>
    <row r="3">
      <c r="A3" s="3" t="s">
        <v>33</v>
      </c>
      <c r="B3" s="9">
        <f>SUM(Relatorio_Carga_Maquina1!I82:I93)</f>
        <v>28</v>
      </c>
      <c r="C3" s="3">
        <v>0.0</v>
      </c>
    </row>
    <row r="4">
      <c r="A4" s="3" t="s">
        <v>34</v>
      </c>
      <c r="B4" s="9">
        <f>SUM(Relatorio_Carga_Maquina1!I95:I106)</f>
        <v>56</v>
      </c>
      <c r="C4" s="3">
        <v>0.0</v>
      </c>
    </row>
    <row r="5">
      <c r="A5" s="3" t="s">
        <v>35</v>
      </c>
      <c r="B5" s="9">
        <f>SUM(Relatorio_Carga_Maquina1!I108:I119)</f>
        <v>0</v>
      </c>
      <c r="C5" s="3">
        <v>84.0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